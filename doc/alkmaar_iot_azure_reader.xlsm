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rco\Desktop\"/>
    </mc:Choice>
  </mc:AlternateContent>
  <xr:revisionPtr revIDLastSave="0" documentId="10_ncr:8100000_{E8F4C8A5-B99F-4667-932A-3E4E63546CE8}" xr6:coauthVersionLast="34" xr6:coauthVersionMax="34" xr10:uidLastSave="{00000000-0000-0000-0000-000000000000}"/>
  <bookViews>
    <workbookView xWindow="240" yWindow="110" windowWidth="14810" windowHeight="7540" xr2:uid="{00000000-000D-0000-FFFF-FFFF00000000}"/>
  </bookViews>
  <sheets>
    <sheet name="HowTo" sheetId="1" r:id="rId1"/>
    <sheet name="data" sheetId="2" r:id="rId2"/>
    <sheet name="grafieken" sheetId="5" r:id="rId3"/>
  </sheets>
  <definedNames>
    <definedName name="_xlnm._FilterDatabase" localSheetId="1" hidden="1">data!$A$1:$L$54</definedName>
    <definedName name="accesskey">HowTo!$C$6</definedName>
    <definedName name="latestdata">HowTo!$C$17</definedName>
    <definedName name="url">HowTo!$C$9</definedName>
  </definedNames>
  <calcPr calcId="162913"/>
</workbook>
</file>

<file path=xl/calcChain.xml><?xml version="1.0" encoding="utf-8"?>
<calcChain xmlns="http://schemas.openxmlformats.org/spreadsheetml/2006/main">
  <c r="AD40" i="5" l="1"/>
  <c r="AD39" i="5"/>
  <c r="AD38" i="5"/>
  <c r="AD37" i="5"/>
  <c r="AD36" i="5" l="1"/>
  <c r="AD35" i="5"/>
  <c r="AD33" i="5" l="1"/>
  <c r="AD34" i="5" l="1"/>
  <c r="AD32" i="5"/>
  <c r="AD31" i="5"/>
  <c r="AD30" i="5" l="1"/>
  <c r="AD29" i="5"/>
  <c r="AD28" i="5" l="1"/>
  <c r="AD27" i="5"/>
  <c r="AD26" i="5"/>
  <c r="AD25" i="5"/>
  <c r="AD24" i="5"/>
  <c r="AD23" i="5"/>
  <c r="AD22" i="5"/>
  <c r="AD21" i="5"/>
  <c r="AD20" i="5"/>
  <c r="AD19" i="5"/>
  <c r="AD18" i="5"/>
  <c r="AD17" i="5"/>
  <c r="AD16" i="5"/>
  <c r="AD15" i="5"/>
  <c r="AD14" i="5"/>
  <c r="AD13" i="5"/>
  <c r="AD12" i="5"/>
  <c r="AD11" i="5"/>
  <c r="AD10" i="5"/>
  <c r="AD9" i="5"/>
  <c r="AD8" i="5"/>
  <c r="AD7" i="5"/>
  <c r="AD6" i="5"/>
  <c r="AD5" i="5"/>
  <c r="AD4" i="5"/>
  <c r="C13" i="1" l="1"/>
  <c r="C14" i="1"/>
</calcChain>
</file>

<file path=xl/sharedStrings.xml><?xml version="1.0" encoding="utf-8"?>
<sst xmlns="http://schemas.openxmlformats.org/spreadsheetml/2006/main" count="135" uniqueCount="78">
  <si>
    <t>in the thingsnetwork, bij je application, ga naar Integrations en voeg een data storage toe aan je application.</t>
  </si>
  <si>
    <t>bij je application, ga naar Settings, en dan Access Keys, voeg een access key toe die alleen messages mag lezen, kies als naam: access_to_node_data_storage</t>
  </si>
  <si>
    <t>in je application, ga naar Overview, scroll naar beneden, copy de base64 value voor de net aangemaakte key en plak hieronder:</t>
  </si>
  <si>
    <t>access key:</t>
  </si>
  <si>
    <t>alt-f11 is code view</t>
  </si>
  <si>
    <t>url:</t>
  </si>
  <si>
    <t>latest data:</t>
  </si>
  <si>
    <t>Message</t>
  </si>
  <si>
    <t>ballon</t>
  </si>
  <si>
    <t>time:</t>
  </si>
  <si>
    <t>extra value 2</t>
  </si>
  <si>
    <t>Time</t>
  </si>
  <si>
    <t>Device_id</t>
  </si>
  <si>
    <t>Payload</t>
  </si>
  <si>
    <t>Latitude</t>
  </si>
  <si>
    <t>Longitude</t>
  </si>
  <si>
    <t>Altitude</t>
  </si>
  <si>
    <t>Precision Dop</t>
  </si>
  <si>
    <t>CPU VCC (volt)</t>
  </si>
  <si>
    <t>CPU Temp (deg C)</t>
  </si>
  <si>
    <t>Harvested sensor data - Volts and temperature</t>
  </si>
  <si>
    <t>Harvested sensor data - Geo locations</t>
  </si>
  <si>
    <t xml:space="preserve"> &lt;-- most recent</t>
  </si>
  <si>
    <t xml:space="preserve"> &lt;-- oldest</t>
  </si>
  <si>
    <t>discharge time</t>
  </si>
  <si>
    <t>Trend Volt</t>
  </si>
  <si>
    <t>Programming</t>
  </si>
  <si>
    <t>GPS default always on</t>
  </si>
  <si>
    <t>70 sec interval</t>
  </si>
  <si>
    <t>5 minute interval</t>
  </si>
  <si>
    <t>50 sec interval</t>
  </si>
  <si>
    <t>80 sec interval</t>
  </si>
  <si>
    <t>dynamic, avg 6 mins</t>
  </si>
  <si>
    <t>jumpy, avg 8 min</t>
  </si>
  <si>
    <t>jumpy, 80 sec - 2 min interval</t>
  </si>
  <si>
    <t>Odd one out</t>
  </si>
  <si>
    <t>measure interval</t>
  </si>
  <si>
    <t>GPS RF Off, 5 min interval fixed</t>
  </si>
  <si>
    <t>GPS RF Off, 70 sec interval fixed</t>
  </si>
  <si>
    <t>GPS RF Off, 50 sec interval</t>
  </si>
  <si>
    <t>z</t>
  </si>
  <si>
    <t>Time to fix (sec)</t>
  </si>
  <si>
    <t>70 sec interval ?? Onbekend hoe en wat</t>
  </si>
  <si>
    <t>4,1</t>
  </si>
  <si>
    <t>3,1</t>
  </si>
  <si>
    <t>ca da ed 83 5e 92 0 3 e / 9a 75 f</t>
  </si>
  <si>
    <t>ca da df 83 5e 99 0 5 21 / cc 7f f</t>
  </si>
  <si>
    <t>ca da f0 83 5e 94 0 2c e / 9a 75 19</t>
  </si>
  <si>
    <t>GPS RF Off, navmode 4</t>
  </si>
  <si>
    <t>GPS RF Off, navmode 4, timing incorrect</t>
  </si>
  <si>
    <t>GPS RF Off, navmode 4, stabiele plek in het raam</t>
  </si>
  <si>
    <t>ca da f3 83 5e 99 0 1 11 / cc 78 a</t>
  </si>
  <si>
    <t>ca da e5 83 5e 99 0 0 19 / 9b 75 23</t>
  </si>
  <si>
    <t>ca da f6 83 5e 9c 0 8 11 / cd 5e a</t>
  </si>
  <si>
    <t>ca da f4 83 5e 9c 0 7 13 / 99 63 a</t>
  </si>
  <si>
    <t xml:space="preserve">  215 berichten 4 min avg, avg fix 12 sec</t>
  </si>
  <si>
    <t xml:space="preserve">  350 berichten 2.5min avg, avg 17.8 sec fix time </t>
  </si>
  <si>
    <t xml:space="preserve">  avg 18 sec ttf</t>
  </si>
  <si>
    <t xml:space="preserve">  avg 26 ttf, longest 5 mins</t>
  </si>
  <si>
    <t>fix + sleep, 300 sec,</t>
  </si>
  <si>
    <t xml:space="preserve">fix + sleep, 150 sec, </t>
  </si>
  <si>
    <t>fix + sleep, 60 sec,</t>
  </si>
  <si>
    <t>fix + sleep, 120 sec,</t>
  </si>
  <si>
    <t>fix + sleep, 120 sec on ice,</t>
  </si>
  <si>
    <t xml:space="preserve">  avg 9 min interval = big gps fix challenge</t>
  </si>
  <si>
    <t xml:space="preserve">  avg 3 min interval</t>
  </si>
  <si>
    <t xml:space="preserve">fix + sleep, 180 sec, </t>
  </si>
  <si>
    <t>7d</t>
  </si>
  <si>
    <t>https://IoTAlkmaar.azure-devices.net/statistics/devices?api-version=2018-06-30</t>
  </si>
  <si>
    <t>SharedAccessSignature sr=IoTAlkmaar.azure-devices.net&amp;sig=6VW%2FebLu5gIhDJ4%2FOpo7IzWkv1ZSXg9UQF8UraaBbE0%3D&amp;se=1536321119&amp;skn=iothubowner</t>
  </si>
  <si>
    <t>{"totalDeviceCount":2,"enabledDeviceCount":2,"disabledDeviceCount":0}</t>
  </si>
  <si>
    <t>lDeviceCou t</t>
  </si>
  <si>
    <t>ceCount</t>
  </si>
  <si>
    <t>viceCount</t>
  </si>
  <si>
    <t>iceCount</t>
  </si>
  <si>
    <t>Count</t>
  </si>
  <si>
    <t>ount</t>
  </si>
  <si>
    <t xml:space="preserve">Count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</si>
</sst>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000"/>
    <numFmt numFmtId="165" formatCode="0.0"/>
    <numFmt numFmtId="166" formatCode="d/m/yyyy\ hh:mm:ss"/>
    <numFmt numFmtId="167" formatCode="d/m/yy\ hh:mm"/>
    <numFmt numFmtId="168" formatCode="h:mm:ss;@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9"/>
      <color theme="0" tint="-0.34998626667073579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color rgb="FF000000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right" vertical="top"/>
    </xf>
    <xf numFmtId="0" fontId="2" fillId="0" borderId="0" xfId="0" applyFont="1" applyAlignment="1">
      <alignment vertical="top"/>
    </xf>
    <xf numFmtId="0" fontId="4" fillId="0" borderId="0" xfId="0" applyFont="1" applyAlignment="1">
      <alignment vertical="top" wrapText="1"/>
    </xf>
    <xf numFmtId="0" fontId="3" fillId="0" borderId="0" xfId="1" applyNumberFormat="1" applyAlignment="1">
      <alignment vertical="top"/>
    </xf>
    <xf numFmtId="0" fontId="1" fillId="2" borderId="1" xfId="0" applyFont="1" applyFill="1" applyBorder="1" applyAlignment="1"/>
    <xf numFmtId="164" fontId="1" fillId="2" borderId="1" xfId="0" applyNumberFormat="1" applyFont="1" applyFill="1" applyBorder="1" applyAlignment="1"/>
    <xf numFmtId="165" fontId="1" fillId="2" borderId="1" xfId="0" applyNumberFormat="1" applyFont="1" applyFill="1" applyBorder="1" applyAlignment="1"/>
    <xf numFmtId="2" fontId="1" fillId="2" borderId="1" xfId="0" applyNumberFormat="1" applyFont="1" applyFill="1" applyBorder="1" applyAlignment="1"/>
    <xf numFmtId="1" fontId="1" fillId="2" borderId="1" xfId="0" applyNumberFormat="1" applyFont="1" applyFill="1" applyBorder="1" applyAlignment="1"/>
    <xf numFmtId="14" fontId="1" fillId="2" borderId="1" xfId="0" applyNumberFormat="1" applyFont="1" applyFill="1" applyBorder="1" applyAlignment="1"/>
    <xf numFmtId="0" fontId="0" fillId="0" borderId="0" xfId="0" applyNumberFormat="1"/>
    <xf numFmtId="22" fontId="0" fillId="0" borderId="0" xfId="0" applyNumberFormat="1"/>
    <xf numFmtId="0" fontId="0" fillId="0" borderId="0" xfId="0" quotePrefix="1" applyAlignment="1">
      <alignment vertical="top"/>
    </xf>
    <xf numFmtId="0" fontId="5" fillId="2" borderId="1" xfId="0" applyFont="1" applyFill="1" applyBorder="1" applyAlignment="1">
      <alignment vertical="top"/>
    </xf>
    <xf numFmtId="166" fontId="0" fillId="0" borderId="0" xfId="0" applyNumberFormat="1"/>
    <xf numFmtId="167" fontId="1" fillId="2" borderId="2" xfId="0" applyNumberFormat="1" applyFont="1" applyFill="1" applyBorder="1" applyAlignment="1"/>
    <xf numFmtId="164" fontId="7" fillId="2" borderId="1" xfId="0" applyNumberFormat="1" applyFont="1" applyFill="1" applyBorder="1" applyAlignment="1"/>
    <xf numFmtId="165" fontId="7" fillId="2" borderId="1" xfId="0" applyNumberFormat="1" applyFont="1" applyFill="1" applyBorder="1" applyAlignment="1"/>
    <xf numFmtId="2" fontId="7" fillId="2" borderId="1" xfId="0" applyNumberFormat="1" applyFont="1" applyFill="1" applyBorder="1" applyAlignment="1"/>
    <xf numFmtId="11" fontId="8" fillId="0" borderId="0" xfId="0" applyNumberFormat="1" applyFont="1"/>
    <xf numFmtId="0" fontId="8" fillId="0" borderId="0" xfId="0" applyFont="1"/>
    <xf numFmtId="1" fontId="7" fillId="2" borderId="1" xfId="0" applyNumberFormat="1" applyFont="1" applyFill="1" applyBorder="1" applyAlignment="1"/>
    <xf numFmtId="168" fontId="1" fillId="2" borderId="1" xfId="0" applyNumberFormat="1" applyFont="1" applyFill="1" applyBorder="1" applyAlignment="1"/>
    <xf numFmtId="168" fontId="0" fillId="0" borderId="0" xfId="0" applyNumberFormat="1" applyFill="1"/>
    <xf numFmtId="168" fontId="0" fillId="2" borderId="0" xfId="0" applyNumberFormat="1" applyFill="1"/>
    <xf numFmtId="168" fontId="6" fillId="2" borderId="0" xfId="0" applyNumberFormat="1" applyFont="1" applyFill="1"/>
    <xf numFmtId="168" fontId="0" fillId="0" borderId="0" xfId="0" applyNumberFormat="1"/>
    <xf numFmtId="167" fontId="1" fillId="2" borderId="1" xfId="0" applyNumberFormat="1" applyFont="1" applyFill="1" applyBorder="1" applyAlignment="1"/>
    <xf numFmtId="0" fontId="9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78963876601666E-2"/>
          <c:y val="3.8509302068704336E-2"/>
          <c:w val="0.84029789108529263"/>
          <c:h val="0.80405588079045232"/>
        </c:manualLayout>
      </c:layout>
      <c:scatterChart>
        <c:scatterStyle val="lineMarker"/>
        <c:varyColors val="0"/>
        <c:ser>
          <c:idx val="5"/>
          <c:order val="1"/>
          <c:tx>
            <c:strRef>
              <c:f>data!$J$1</c:f>
              <c:strCache>
                <c:ptCount val="1"/>
                <c:pt idx="0">
                  <c:v>CPU Temp (deg C)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strRef>
              <c:f>data!$B$2:$B$9999</c:f>
              <c:strCache>
                <c:ptCount val="1"/>
                <c:pt idx="0">
                  <c:v>lDeviceCou t</c:v>
                </c:pt>
              </c:strCache>
            </c:strRef>
          </c:xVal>
          <c:yVal>
            <c:numRef>
              <c:f>data!$J$2:$J$9999</c:f>
              <c:numCache>
                <c:formatCode>General</c:formatCode>
                <c:ptCount val="999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CB-4D3F-8E3F-B0FB7E77CD39}"/>
            </c:ext>
          </c:extLst>
        </c:ser>
        <c:ser>
          <c:idx val="6"/>
          <c:order val="6"/>
          <c:tx>
            <c:strRef>
              <c:f>data!$K$1</c:f>
              <c:strCache>
                <c:ptCount val="1"/>
                <c:pt idx="0">
                  <c:v>Time to fix (sec)</c:v>
                </c:pt>
              </c:strCache>
              <c:extLst xmlns:c15="http://schemas.microsoft.com/office/drawing/2012/chart"/>
            </c:strRef>
          </c:tx>
          <c:spPr>
            <a:ln w="63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strRef>
              <c:f>data!$B$2:$B$9999</c:f>
              <c:strCache>
                <c:ptCount val="1"/>
                <c:pt idx="0">
                  <c:v>lDeviceCou t</c:v>
                </c:pt>
              </c:strCache>
            </c:strRef>
          </c:xVal>
          <c:yVal>
            <c:numRef>
              <c:f>data!$K$2:$K$9999</c:f>
              <c:numCache>
                <c:formatCode>General</c:formatCode>
                <c:ptCount val="9998"/>
                <c:pt idx="0">
                  <c:v>0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1-CBCB-4D3F-8E3F-B0FB7E77C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5490048"/>
        <c:axId val="-75488960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data!$G$1</c15:sqref>
                        </c15:formulaRef>
                      </c:ext>
                    </c:extLst>
                    <c:strCache>
                      <c:ptCount val="1"/>
                      <c:pt idx="0">
                        <c:v>Altitude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str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strCache>
                      <c:ptCount val="1"/>
                      <c:pt idx="0">
                        <c:v>lDeviceCou t</c:v>
                      </c:pt>
                    </c:strCache>
                  </c:strRef>
                </c:xVal>
                <c:yVal>
                  <c:numRef>
                    <c:extLst>
                      <c:ext uri="{02D57815-91ED-43cb-92C2-25804820EDAC}">
                        <c15:formulaRef>
                          <c15:sqref>data!$G$2:$G$9999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CBCB-4D3F-8E3F-B0FB7E77CD39}"/>
                  </c:ext>
                </c:extLst>
              </c15:ser>
            </c15:filteredScatterSeries>
            <c15:filteredScatterSeries>
              <c15:ser>
                <c:idx val="0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data!$E$1</c15:sqref>
                        </c15:formulaRef>
                      </c:ext>
                    </c:extLst>
                    <c:strCache>
                      <c:ptCount val="1"/>
                      <c:pt idx="0">
                        <c:v>Latitude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strCache>
                      <c:ptCount val="1"/>
                      <c:pt idx="0">
                        <c:v>lDeviceCou t</c:v>
                      </c:pt>
                    </c:strCache>
                  </c:str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data!$E$2:$E$9999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CBCB-4D3F-8E3F-B0FB7E77CD39}"/>
                  </c:ext>
                </c:extLst>
              </c15:ser>
            </c15:filteredScatterSeries>
            <c15:filteredScatterSeries>
              <c15:ser>
                <c:idx val="1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data!$F$1</c15:sqref>
                        </c15:formulaRef>
                      </c:ext>
                    </c:extLst>
                    <c:strCache>
                      <c:ptCount val="1"/>
                      <c:pt idx="0">
                        <c:v>Longitude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strCache>
                      <c:ptCount val="1"/>
                      <c:pt idx="0">
                        <c:v>lDeviceCou t</c:v>
                      </c:pt>
                    </c:strCache>
                  </c:str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data!$F$2:$F$9999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CBCB-4D3F-8E3F-B0FB7E77CD39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data!$H$1</c15:sqref>
                        </c15:formulaRef>
                      </c:ext>
                    </c:extLst>
                    <c:strCache>
                      <c:ptCount val="1"/>
                      <c:pt idx="0">
                        <c:v>Precision Dop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strCache>
                      <c:ptCount val="1"/>
                      <c:pt idx="0">
                        <c:v>lDeviceCou t</c:v>
                      </c:pt>
                    </c:strCache>
                  </c:str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data!$H$2:$H$9999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6-CBCB-4D3F-8E3F-B0FB7E77CD39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data!$L$1</c15:sqref>
                        </c15:formulaRef>
                      </c:ext>
                    </c:extLst>
                    <c:strCache>
                      <c:ptCount val="1"/>
                      <c:pt idx="0">
                        <c:v>extra value 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strCache>
                      <c:ptCount val="1"/>
                      <c:pt idx="0">
                        <c:v>lDeviceCou t</c:v>
                      </c:pt>
                    </c:strCache>
                  </c:str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data!$L$2:$L$9999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CBCB-4D3F-8E3F-B0FB7E77CD39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4"/>
          <c:order val="0"/>
          <c:tx>
            <c:strRef>
              <c:f>data!$I$1</c:f>
              <c:strCache>
                <c:ptCount val="1"/>
                <c:pt idx="0">
                  <c:v>CPU VCC (volt)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strRef>
              <c:f>data!$B$2:$B$9999</c:f>
              <c:strCache>
                <c:ptCount val="1"/>
                <c:pt idx="0">
                  <c:v>lDeviceCou t</c:v>
                </c:pt>
              </c:strCache>
            </c:strRef>
          </c:xVal>
          <c:yVal>
            <c:numRef>
              <c:f>data!$I$2:$I$9999</c:f>
              <c:numCache>
                <c:formatCode>General</c:formatCode>
                <c:ptCount val="999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CB-4D3F-8E3F-B0FB7E77C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5487328"/>
        <c:axId val="-75487872"/>
      </c:scatterChart>
      <c:valAx>
        <c:axId val="-75490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\ h:mm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11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5488960"/>
        <c:crosses val="autoZero"/>
        <c:crossBetween val="midCat"/>
        <c:majorUnit val="0.25"/>
        <c:minorUnit val="4.1666667000000018E-2"/>
      </c:valAx>
      <c:valAx>
        <c:axId val="-75488960"/>
        <c:scaling>
          <c:orientation val="minMax"/>
          <c:max val="10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 Temperatures (deg C)</a:t>
                </a:r>
              </a:p>
              <a:p>
                <a:pPr>
                  <a:defRPr/>
                </a:pPr>
                <a:r>
                  <a:rPr lang="nl-NL"/>
                  <a:t>fix time (sec)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out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5490048"/>
        <c:crosses val="autoZero"/>
        <c:crossBetween val="midCat"/>
        <c:majorUnit val="50"/>
      </c:valAx>
      <c:valAx>
        <c:axId val="-75487872"/>
        <c:scaling>
          <c:orientation val="minMax"/>
          <c:max val="4.5"/>
          <c:min val="3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Volts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5487328"/>
        <c:crosses val="max"/>
        <c:crossBetween val="midCat"/>
        <c:majorUnit val="0.25"/>
      </c:valAx>
      <c:valAx>
        <c:axId val="-75487328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-75487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110805205293395"/>
          <c:y val="1.1619564588494571E-2"/>
          <c:w val="0.12639814253987483"/>
          <c:h val="0.12658308743471194"/>
        </c:manualLayout>
      </c:layout>
      <c:overlay val="0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78963876601666E-2"/>
          <c:y val="3.8509302068704336E-2"/>
          <c:w val="0.83900288979029147"/>
          <c:h val="0.80405588079045232"/>
        </c:manualLayout>
      </c:layout>
      <c:scatterChart>
        <c:scatterStyle val="lineMarker"/>
        <c:varyColors val="0"/>
        <c:ser>
          <c:idx val="0"/>
          <c:order val="3"/>
          <c:tx>
            <c:strRef>
              <c:f>data!$E$1</c:f>
              <c:strCache>
                <c:ptCount val="1"/>
                <c:pt idx="0">
                  <c:v>Latitude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data!$B$2:$B$9999</c:f>
              <c:strCache>
                <c:ptCount val="1"/>
                <c:pt idx="0">
                  <c:v>lDeviceCou t</c:v>
                </c:pt>
              </c:strCache>
            </c:strRef>
          </c:xVal>
          <c:yVal>
            <c:numRef>
              <c:f>data!$E$2:$E$9999</c:f>
              <c:numCache>
                <c:formatCode>General</c:formatCode>
                <c:ptCount val="9998"/>
                <c:pt idx="0">
                  <c:v>0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FD54-4176-870B-205249AF14F6}"/>
            </c:ext>
          </c:extLst>
        </c:ser>
        <c:ser>
          <c:idx val="1"/>
          <c:order val="4"/>
          <c:tx>
            <c:strRef>
              <c:f>data!$F$1</c:f>
              <c:strCache>
                <c:ptCount val="1"/>
                <c:pt idx="0">
                  <c:v>Longitude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data!$B$2:$B$9999</c:f>
              <c:strCache>
                <c:ptCount val="1"/>
                <c:pt idx="0">
                  <c:v>lDeviceCou t</c:v>
                </c:pt>
              </c:strCache>
            </c:strRef>
          </c:xVal>
          <c:yVal>
            <c:numRef>
              <c:f>data!$F$2:$F$9999</c:f>
              <c:numCache>
                <c:formatCode>General</c:formatCode>
                <c:ptCount val="9998"/>
                <c:pt idx="0">
                  <c:v>0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1-FD54-4176-870B-205249AF14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3431520"/>
        <c:axId val="-63430976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1"/>
                <c:tx>
                  <c:strRef>
                    <c:extLst>
                      <c:ext uri="{02D57815-91ED-43cb-92C2-25804820EDAC}">
                        <c15:formulaRef>
                          <c15:sqref>data!$J$1</c15:sqref>
                        </c15:formulaRef>
                      </c:ext>
                    </c:extLst>
                    <c:strCache>
                      <c:ptCount val="1"/>
                      <c:pt idx="0">
                        <c:v>CPU Temp (deg C)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str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strCache>
                      <c:ptCount val="1"/>
                      <c:pt idx="0">
                        <c:v>lDeviceCou t</c:v>
                      </c:pt>
                    </c:strCache>
                  </c:strRef>
                </c:xVal>
                <c:yVal>
                  <c:numRef>
                    <c:extLst>
                      <c:ext uri="{02D57815-91ED-43cb-92C2-25804820EDAC}">
                        <c15:formulaRef>
                          <c15:sqref>data!$J$2:$J$9999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FD54-4176-870B-205249AF14F6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data!$K$1</c15:sqref>
                        </c15:formulaRef>
                      </c:ext>
                    </c:extLst>
                    <c:strCache>
                      <c:ptCount val="1"/>
                      <c:pt idx="0">
                        <c:v>Time to fix (sec)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strCache>
                      <c:ptCount val="1"/>
                      <c:pt idx="0">
                        <c:v>lDeviceCou t</c:v>
                      </c:pt>
                    </c:strCache>
                  </c:str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data!$K$2:$K$9999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6-FD54-4176-870B-205249AF14F6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data!$L$1</c15:sqref>
                        </c15:formulaRef>
                      </c:ext>
                    </c:extLst>
                    <c:strCache>
                      <c:ptCount val="1"/>
                      <c:pt idx="0">
                        <c:v>extra value 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strCache>
                      <c:ptCount val="1"/>
                      <c:pt idx="0">
                        <c:v>lDeviceCou t</c:v>
                      </c:pt>
                    </c:strCache>
                  </c:str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data!$L$2:$L$9999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FD54-4176-870B-205249AF14F6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2"/>
          <c:order val="2"/>
          <c:tx>
            <c:strRef>
              <c:f>data!$G$1</c:f>
              <c:strCache>
                <c:ptCount val="1"/>
                <c:pt idx="0">
                  <c:v>Altitude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strRef>
              <c:f>data!$B$2:$B$9999</c:f>
              <c:strCache>
                <c:ptCount val="1"/>
                <c:pt idx="0">
                  <c:v>lDeviceCou t</c:v>
                </c:pt>
              </c:strCache>
            </c:strRef>
          </c:xVal>
          <c:yVal>
            <c:numRef>
              <c:f>data!$G$2:$G$9999</c:f>
              <c:numCache>
                <c:formatCode>General</c:formatCode>
                <c:ptCount val="9998"/>
                <c:pt idx="0">
                  <c:v>0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2-FD54-4176-870B-205249AF14F6}"/>
            </c:ext>
          </c:extLst>
        </c:ser>
        <c:ser>
          <c:idx val="3"/>
          <c:order val="5"/>
          <c:tx>
            <c:strRef>
              <c:f>data!$H$1</c:f>
              <c:strCache>
                <c:ptCount val="1"/>
                <c:pt idx="0">
                  <c:v>Precision Dop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strRef>
              <c:f>data!$B$2:$B$9999</c:f>
              <c:strCache>
                <c:ptCount val="1"/>
                <c:pt idx="0">
                  <c:v>lDeviceCou t</c:v>
                </c:pt>
              </c:strCache>
            </c:strRef>
          </c:xVal>
          <c:yVal>
            <c:numRef>
              <c:f>data!$H$2:$H$9999</c:f>
              <c:numCache>
                <c:formatCode>General</c:formatCode>
                <c:ptCount val="9998"/>
                <c:pt idx="0">
                  <c:v>0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3-FD54-4176-870B-205249AF14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3429888"/>
        <c:axId val="-63421728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data!$I$1</c15:sqref>
                        </c15:formulaRef>
                      </c:ext>
                    </c:extLst>
                    <c:strCache>
                      <c:ptCount val="1"/>
                      <c:pt idx="0">
                        <c:v>CPU VCC (volt)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str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strCache>
                      <c:ptCount val="1"/>
                      <c:pt idx="0">
                        <c:v>lDeviceCou t</c:v>
                      </c:pt>
                    </c:strCache>
                  </c:strRef>
                </c:xVal>
                <c:yVal>
                  <c:numRef>
                    <c:extLst>
                      <c:ext uri="{02D57815-91ED-43cb-92C2-25804820EDAC}">
                        <c15:formulaRef>
                          <c15:sqref>data!$I$2:$I$9999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FD54-4176-870B-205249AF14F6}"/>
                  </c:ext>
                </c:extLst>
              </c15:ser>
            </c15:filteredScatterSeries>
          </c:ext>
        </c:extLst>
      </c:scatterChart>
      <c:valAx>
        <c:axId val="-63431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\ h:mm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11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3430976"/>
        <c:crossesAt val="-5"/>
        <c:crossBetween val="midCat"/>
        <c:majorUnit val="0.25"/>
        <c:minorUnit val="4.1666667000000018E-2"/>
      </c:valAx>
      <c:valAx>
        <c:axId val="-63430976"/>
        <c:scaling>
          <c:orientation val="minMax"/>
          <c:max val="55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Lat &amp; Long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3431520"/>
        <c:crosses val="autoZero"/>
        <c:crossBetween val="midCat"/>
      </c:valAx>
      <c:valAx>
        <c:axId val="-634217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Altitude and DoP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3429888"/>
        <c:crosses val="max"/>
        <c:crossBetween val="midCat"/>
      </c:valAx>
      <c:valAx>
        <c:axId val="-63429888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-63421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499305593793782"/>
          <c:y val="6.1719764989296176E-2"/>
          <c:w val="0.12769314383487609"/>
          <c:h val="0.17000317464575873"/>
        </c:manualLayout>
      </c:layout>
      <c:overlay val="0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222250</xdr:colOff>
          <xdr:row>11</xdr:row>
          <xdr:rowOff>38100</xdr:rowOff>
        </xdr:from>
        <xdr:to>
          <xdr:col>2</xdr:col>
          <xdr:colOff>1231900</xdr:colOff>
          <xdr:row>12</xdr:row>
          <xdr:rowOff>177800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53340</xdr:colOff>
      <xdr:row>20</xdr:row>
      <xdr:rowOff>144780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0</xdr:rowOff>
    </xdr:from>
    <xdr:to>
      <xdr:col>16</xdr:col>
      <xdr:colOff>53340</xdr:colOff>
      <xdr:row>45</xdr:row>
      <xdr:rowOff>144780</xdr:rowOff>
    </xdr:to>
    <xdr:graphicFrame macro="">
      <xdr:nvGraphicFramePr>
        <xdr:cNvPr id="4" name="Grafiek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iotalkmaar.azure-devices.net/statistics/devices?api-version=2018-06-30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2:D17"/>
  <sheetViews>
    <sheetView tabSelected="1" topLeftCell="A4" workbookViewId="0">
      <selection activeCell="C6" sqref="C6"/>
    </sheetView>
  </sheetViews>
  <sheetFormatPr defaultColWidth="8.90625" defaultRowHeight="14.5" x14ac:dyDescent="0.35"/>
  <cols>
    <col min="1" max="2" width="8.90625" style="1"/>
    <col min="3" max="3" width="99.81640625" style="1" customWidth="1"/>
    <col min="4" max="16384" width="8.90625" style="1"/>
  </cols>
  <sheetData>
    <row r="2" spans="1:4" x14ac:dyDescent="0.35">
      <c r="A2" s="1" t="s">
        <v>0</v>
      </c>
    </row>
    <row r="3" spans="1:4" x14ac:dyDescent="0.35">
      <c r="A3" s="1" t="s">
        <v>1</v>
      </c>
    </row>
    <row r="4" spans="1:4" x14ac:dyDescent="0.35">
      <c r="A4" s="1" t="s">
        <v>2</v>
      </c>
    </row>
    <row r="6" spans="1:4" x14ac:dyDescent="0.25">
      <c r="B6" s="2" t="s">
        <v>3</v>
      </c>
      <c r="C6" s="30" t="s">
        <v>69</v>
      </c>
    </row>
    <row r="7" spans="1:4" x14ac:dyDescent="0.35">
      <c r="B7" s="2"/>
      <c r="C7" s="3"/>
    </row>
    <row r="8" spans="1:4" x14ac:dyDescent="0.35">
      <c r="B8" s="2" t="s">
        <v>9</v>
      </c>
      <c r="C8" s="3" t="s">
        <v>67</v>
      </c>
    </row>
    <row r="9" spans="1:4" x14ac:dyDescent="0.35">
      <c r="B9" s="1" t="s">
        <v>5</v>
      </c>
      <c r="C9" s="5" t="s">
        <v>68</v>
      </c>
    </row>
    <row r="10" spans="1:4" x14ac:dyDescent="0.35">
      <c r="A10" s="1" t="s">
        <v>4</v>
      </c>
    </row>
    <row r="13" spans="1:4" x14ac:dyDescent="0.35">
      <c r="C13" s="16">
        <f>MIN(data!B:B)</f>
        <v>0</v>
      </c>
      <c r="D13" s="14" t="s">
        <v>23</v>
      </c>
    </row>
    <row r="14" spans="1:4" x14ac:dyDescent="0.35">
      <c r="C14" s="16">
        <f>MAX(data!B:B)</f>
        <v>0</v>
      </c>
      <c r="D14" s="14" t="s">
        <v>22</v>
      </c>
    </row>
    <row r="17" spans="2:3" ht="200" customHeight="1" x14ac:dyDescent="0.35">
      <c r="B17" s="2" t="s">
        <v>6</v>
      </c>
      <c r="C17" s="4" t="s">
        <v>70</v>
      </c>
    </row>
  </sheetData>
  <hyperlinks>
    <hyperlink ref="C9" r:id="rId1" xr:uid="{00000000-0004-0000-0000-000000000000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1</xdr:col>
                <xdr:colOff>222250</xdr:colOff>
                <xdr:row>11</xdr:row>
                <xdr:rowOff>38100</xdr:rowOff>
              </from>
              <to>
                <xdr:col>2</xdr:col>
                <xdr:colOff>1225550</xdr:colOff>
                <xdr:row>12</xdr:row>
                <xdr:rowOff>171450</xdr:rowOff>
              </to>
            </anchor>
          </controlPr>
        </control>
      </mc:Choice>
      <mc:Fallback>
        <control shapeId="1025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A1:L2"/>
  <sheetViews>
    <sheetView zoomScale="90" zoomScaleNormal="90" workbookViewId="0">
      <pane ySplit="1" topLeftCell="A2" activePane="bottomLeft" state="frozen"/>
      <selection pane="bottomLeft"/>
    </sheetView>
  </sheetViews>
  <sheetFormatPr defaultRowHeight="14" customHeight="1" x14ac:dyDescent="0.35"/>
  <cols>
    <col min="1" max="1" width="9.90625" customWidth="1"/>
    <col min="2" max="2" width="23.81640625" customWidth="1"/>
    <col min="3" max="3" width="32.54296875" customWidth="1"/>
    <col min="4" max="4" width="22.6328125" bestFit="1" customWidth="1"/>
    <col min="5" max="5" width="13.08984375" customWidth="1"/>
    <col min="6" max="6" width="15.6328125" customWidth="1"/>
    <col min="7" max="7" width="7.6328125" bestFit="1" customWidth="1"/>
    <col min="8" max="8" width="20.453125" customWidth="1"/>
    <col min="9" max="9" width="13.54296875" bestFit="1" customWidth="1"/>
    <col min="10" max="10" width="16.36328125" bestFit="1" customWidth="1"/>
    <col min="11" max="11" width="15" customWidth="1"/>
    <col min="12" max="12" width="11.6328125" bestFit="1" customWidth="1"/>
  </cols>
  <sheetData>
    <row r="1" spans="1:12" s="6" customFormat="1" ht="14" customHeight="1" x14ac:dyDescent="0.35">
      <c r="A1" s="15" t="s">
        <v>7</v>
      </c>
      <c r="B1" s="17" t="s">
        <v>11</v>
      </c>
      <c r="C1" s="6" t="s">
        <v>12</v>
      </c>
      <c r="D1" s="6" t="s">
        <v>13</v>
      </c>
      <c r="E1" s="7" t="s">
        <v>14</v>
      </c>
      <c r="F1" s="7" t="s">
        <v>15</v>
      </c>
      <c r="G1" s="8" t="s">
        <v>16</v>
      </c>
      <c r="H1" s="9" t="s">
        <v>17</v>
      </c>
      <c r="I1" s="9" t="s">
        <v>18</v>
      </c>
      <c r="J1" s="10" t="s">
        <v>19</v>
      </c>
      <c r="K1" s="11" t="s">
        <v>41</v>
      </c>
      <c r="L1" s="6" t="s">
        <v>10</v>
      </c>
    </row>
    <row r="2" spans="1:12" ht="14" customHeight="1" x14ac:dyDescent="0.35">
      <c r="A2" t="s">
        <v>70</v>
      </c>
      <c r="B2" t="s">
        <v>71</v>
      </c>
      <c r="C2" t="s">
        <v>72</v>
      </c>
      <c r="D2" t="s">
        <v>73</v>
      </c>
      <c r="E2" t="s">
        <v>73</v>
      </c>
      <c r="F2" t="s">
        <v>73</v>
      </c>
      <c r="G2" t="s">
        <v>73</v>
      </c>
      <c r="H2" t="s">
        <v>74</v>
      </c>
      <c r="I2" t="s">
        <v>75</v>
      </c>
      <c r="J2" t="s">
        <v>76</v>
      </c>
      <c r="K2" t="s">
        <v>77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5"/>
  <dimension ref="G2:AY40"/>
  <sheetViews>
    <sheetView topLeftCell="F26" zoomScale="254" zoomScaleNormal="110" workbookViewId="0">
      <selection activeCell="A3" sqref="A3"/>
    </sheetView>
  </sheetViews>
  <sheetFormatPr defaultRowHeight="14.5" x14ac:dyDescent="0.35"/>
  <cols>
    <col min="18" max="18" width="14.6328125" bestFit="1" customWidth="1"/>
    <col min="19" max="19" width="2.90625" customWidth="1"/>
    <col min="20" max="20" width="2.36328125" customWidth="1"/>
    <col min="21" max="21" width="3.36328125" style="22" customWidth="1"/>
    <col min="22" max="22" width="2.1796875" style="22" customWidth="1"/>
    <col min="23" max="23" width="2.08984375" style="22" customWidth="1"/>
    <col min="24" max="24" width="2.453125" style="22" customWidth="1"/>
    <col min="25" max="25" width="8.81640625" customWidth="1"/>
    <col min="26" max="27" width="4.81640625" style="22" customWidth="1"/>
    <col min="28" max="28" width="9.90625" bestFit="1" customWidth="1"/>
    <col min="29" max="29" width="9.81640625" customWidth="1"/>
    <col min="30" max="30" width="13.36328125" style="28" bestFit="1" customWidth="1"/>
    <col min="31" max="31" width="41.54296875" customWidth="1"/>
  </cols>
  <sheetData>
    <row r="2" spans="7:32" x14ac:dyDescent="0.35">
      <c r="G2" t="s">
        <v>20</v>
      </c>
      <c r="R2" s="17" t="s">
        <v>11</v>
      </c>
      <c r="S2" s="29"/>
      <c r="T2" s="29"/>
      <c r="U2" s="18" t="s">
        <v>14</v>
      </c>
      <c r="V2" s="18" t="s">
        <v>15</v>
      </c>
      <c r="W2" s="19" t="s">
        <v>16</v>
      </c>
      <c r="X2" s="20" t="s">
        <v>17</v>
      </c>
      <c r="Y2" s="9" t="s">
        <v>18</v>
      </c>
      <c r="Z2" s="23" t="s">
        <v>19</v>
      </c>
      <c r="AA2" s="23"/>
      <c r="AB2" s="11" t="s">
        <v>25</v>
      </c>
      <c r="AC2" s="11"/>
      <c r="AD2" s="24" t="s">
        <v>24</v>
      </c>
      <c r="AE2" t="s">
        <v>36</v>
      </c>
      <c r="AF2" t="s">
        <v>26</v>
      </c>
    </row>
    <row r="3" spans="7:32" x14ac:dyDescent="0.35">
      <c r="R3" s="13">
        <v>42784.95752314815</v>
      </c>
      <c r="S3" s="13"/>
      <c r="T3" s="13"/>
      <c r="U3" s="21">
        <v>-5.36441834242396E-6</v>
      </c>
      <c r="V3" s="21">
        <v>-1.07288366848479E-5</v>
      </c>
      <c r="W3" s="22">
        <v>0</v>
      </c>
      <c r="X3" s="22">
        <v>0</v>
      </c>
      <c r="Y3">
        <v>4.0999999999999996</v>
      </c>
      <c r="Z3" s="22">
        <v>46</v>
      </c>
      <c r="AB3">
        <v>4.0999999999999996</v>
      </c>
      <c r="AD3" s="25"/>
      <c r="AF3" t="s">
        <v>27</v>
      </c>
    </row>
    <row r="4" spans="7:32" x14ac:dyDescent="0.35">
      <c r="R4" s="13">
        <v>42785.241400462961</v>
      </c>
      <c r="S4" s="13"/>
      <c r="T4" s="13"/>
      <c r="U4" s="21">
        <v>-5.36441834242396E-6</v>
      </c>
      <c r="V4" s="21">
        <v>-1.07288366848479E-5</v>
      </c>
      <c r="W4" s="22">
        <v>0</v>
      </c>
      <c r="X4" s="22">
        <v>0</v>
      </c>
      <c r="Y4">
        <v>3.04</v>
      </c>
      <c r="Z4" s="22">
        <v>115</v>
      </c>
      <c r="AB4">
        <v>3.1</v>
      </c>
      <c r="AD4" s="26">
        <f>IF(AB4&lt;AB3,R4-R3,"")</f>
        <v>0.28387731481052469</v>
      </c>
      <c r="AF4" t="s">
        <v>27</v>
      </c>
    </row>
    <row r="5" spans="7:32" x14ac:dyDescent="0.35">
      <c r="R5" s="13">
        <v>42785.953692129631</v>
      </c>
      <c r="S5" s="13"/>
      <c r="T5" s="13"/>
      <c r="U5" s="22">
        <v>52.632652678051699</v>
      </c>
      <c r="V5" s="22">
        <v>4.7382941686090003</v>
      </c>
      <c r="W5" s="22">
        <v>0</v>
      </c>
      <c r="X5" s="22">
        <v>1.4</v>
      </c>
      <c r="Y5">
        <v>4.0999999999999996</v>
      </c>
      <c r="Z5" s="22">
        <v>30</v>
      </c>
      <c r="AB5">
        <v>4.0999999999999996</v>
      </c>
      <c r="AD5" s="26" t="str">
        <f t="shared" ref="AD5:AD40" si="0">IF(AB5&lt;AB4,R5-R4,"")</f>
        <v/>
      </c>
      <c r="AF5" t="s">
        <v>27</v>
      </c>
    </row>
    <row r="6" spans="7:32" x14ac:dyDescent="0.35">
      <c r="R6" s="13">
        <v>42786.226990740739</v>
      </c>
      <c r="S6" s="13"/>
      <c r="T6" s="13"/>
      <c r="U6" s="22">
        <v>52.632502474337898</v>
      </c>
      <c r="V6" s="22">
        <v>4.7384229146493899</v>
      </c>
      <c r="W6" s="22">
        <v>29</v>
      </c>
      <c r="X6" s="22">
        <v>1.2</v>
      </c>
      <c r="Y6">
        <v>3</v>
      </c>
      <c r="Z6" s="22">
        <v>29</v>
      </c>
      <c r="AB6">
        <v>3.1</v>
      </c>
      <c r="AD6" s="26">
        <f t="shared" si="0"/>
        <v>0.273298611107748</v>
      </c>
      <c r="AF6" t="s">
        <v>27</v>
      </c>
    </row>
    <row r="7" spans="7:32" x14ac:dyDescent="0.35">
      <c r="R7" s="13">
        <v>42786.419988425929</v>
      </c>
      <c r="S7" s="13"/>
      <c r="T7" s="13"/>
      <c r="U7" s="22">
        <v>52.630410351181602</v>
      </c>
      <c r="V7" s="22">
        <v>4.7405043089690304</v>
      </c>
      <c r="W7" s="22">
        <v>0</v>
      </c>
      <c r="X7" s="22">
        <v>1.3</v>
      </c>
      <c r="Y7">
        <v>4.0999999999999996</v>
      </c>
      <c r="Z7" s="22">
        <v>16</v>
      </c>
      <c r="AB7">
        <v>4.0999999999999996</v>
      </c>
      <c r="AD7" s="26" t="str">
        <f t="shared" si="0"/>
        <v/>
      </c>
      <c r="AF7" t="s">
        <v>27</v>
      </c>
    </row>
    <row r="8" spans="7:32" x14ac:dyDescent="0.35">
      <c r="R8" s="13">
        <v>42786.678923611114</v>
      </c>
      <c r="S8" s="13"/>
      <c r="T8" s="13"/>
      <c r="U8" s="22">
        <v>52.632749237581997</v>
      </c>
      <c r="V8" s="22">
        <v>4.7383370839557903</v>
      </c>
      <c r="W8" s="22">
        <v>0</v>
      </c>
      <c r="X8" s="22">
        <v>1</v>
      </c>
      <c r="Y8">
        <v>3.04</v>
      </c>
      <c r="Z8" s="22">
        <v>13</v>
      </c>
      <c r="AB8">
        <v>3.1</v>
      </c>
      <c r="AD8" s="26">
        <f t="shared" si="0"/>
        <v>0.25893518518569181</v>
      </c>
      <c r="AF8" t="s">
        <v>27</v>
      </c>
    </row>
    <row r="9" spans="7:32" x14ac:dyDescent="0.35">
      <c r="R9" s="13">
        <v>42786.930023148147</v>
      </c>
      <c r="S9" s="13"/>
      <c r="T9" s="13"/>
      <c r="U9" s="22">
        <v>52.632534660848002</v>
      </c>
      <c r="V9" s="22">
        <v>4.7378650151410397</v>
      </c>
      <c r="W9" s="22">
        <v>0</v>
      </c>
      <c r="X9" s="22">
        <v>3.5</v>
      </c>
      <c r="Y9">
        <v>4.0999999999999996</v>
      </c>
      <c r="Z9" s="22">
        <v>20</v>
      </c>
      <c r="AB9">
        <v>4.0999999999999996</v>
      </c>
      <c r="AD9" s="26" t="str">
        <f t="shared" si="0"/>
        <v/>
      </c>
      <c r="AF9" t="s">
        <v>27</v>
      </c>
    </row>
    <row r="10" spans="7:32" x14ac:dyDescent="0.35">
      <c r="R10" s="13">
        <v>42787.215231481481</v>
      </c>
      <c r="S10" s="13"/>
      <c r="T10" s="13"/>
      <c r="U10" s="22">
        <v>52.632534660848002</v>
      </c>
      <c r="V10" s="22">
        <v>4.7378650151410397</v>
      </c>
      <c r="W10" s="22">
        <v>0</v>
      </c>
      <c r="X10" s="22">
        <v>3.5</v>
      </c>
      <c r="Y10">
        <v>3.04</v>
      </c>
      <c r="Z10" s="22">
        <v>18</v>
      </c>
      <c r="AB10">
        <v>3.1</v>
      </c>
      <c r="AD10" s="26">
        <f t="shared" si="0"/>
        <v>0.2852083333345945</v>
      </c>
      <c r="AF10" t="s">
        <v>27</v>
      </c>
    </row>
    <row r="11" spans="7:32" x14ac:dyDescent="0.35">
      <c r="R11" s="13">
        <v>42788.444444444445</v>
      </c>
      <c r="S11" s="13"/>
      <c r="T11" s="13"/>
      <c r="U11" s="21">
        <v>-5.36441834242396E-6</v>
      </c>
      <c r="V11" s="21">
        <v>-1.07288366848479E-5</v>
      </c>
      <c r="W11" s="22">
        <v>0</v>
      </c>
      <c r="X11" s="22">
        <v>0</v>
      </c>
      <c r="Y11">
        <v>4.0999999999999996</v>
      </c>
      <c r="Z11" s="22">
        <v>19</v>
      </c>
      <c r="AB11">
        <v>4.0999999999999996</v>
      </c>
      <c r="AD11" s="26" t="str">
        <f t="shared" si="0"/>
        <v/>
      </c>
      <c r="AE11" t="s">
        <v>31</v>
      </c>
      <c r="AF11" t="s">
        <v>27</v>
      </c>
    </row>
    <row r="12" spans="7:32" x14ac:dyDescent="0.35">
      <c r="R12" s="13">
        <v>42788.540578703702</v>
      </c>
      <c r="S12" s="13"/>
      <c r="T12" s="13"/>
      <c r="U12" s="21">
        <v>-5.36441834242396E-6</v>
      </c>
      <c r="V12" s="21">
        <v>-1.07288366848479E-5</v>
      </c>
      <c r="W12" s="22">
        <v>0</v>
      </c>
      <c r="X12" s="22">
        <v>0</v>
      </c>
      <c r="Y12">
        <v>3.08</v>
      </c>
      <c r="Z12" s="22">
        <v>24</v>
      </c>
      <c r="AB12">
        <v>3.1</v>
      </c>
      <c r="AD12" s="27">
        <f t="shared" si="0"/>
        <v>9.6134259256359655E-2</v>
      </c>
      <c r="AE12" t="s">
        <v>35</v>
      </c>
      <c r="AF12" t="s">
        <v>27</v>
      </c>
    </row>
    <row r="13" spans="7:32" x14ac:dyDescent="0.35">
      <c r="R13" s="13">
        <v>42788.906111111108</v>
      </c>
      <c r="S13" s="13"/>
      <c r="T13" s="13"/>
      <c r="U13" s="21">
        <v>-5.36441834242396E-6</v>
      </c>
      <c r="V13" s="21">
        <v>-1.07288366848479E-5</v>
      </c>
      <c r="W13" s="22">
        <v>0</v>
      </c>
      <c r="X13" s="22">
        <v>0</v>
      </c>
      <c r="Y13">
        <v>4.08</v>
      </c>
      <c r="Z13" s="22">
        <v>22</v>
      </c>
      <c r="AB13">
        <v>4.0999999999999996</v>
      </c>
      <c r="AD13" s="26" t="str">
        <f t="shared" si="0"/>
        <v/>
      </c>
      <c r="AE13" t="s">
        <v>32</v>
      </c>
      <c r="AF13" t="s">
        <v>27</v>
      </c>
    </row>
    <row r="14" spans="7:32" x14ac:dyDescent="0.35">
      <c r="R14" s="13">
        <v>42789.181342592594</v>
      </c>
      <c r="S14" s="13"/>
      <c r="T14" s="13"/>
      <c r="U14" s="21">
        <v>-5.36441834242396E-6</v>
      </c>
      <c r="V14" s="21">
        <v>-1.07288366848479E-5</v>
      </c>
      <c r="W14" s="22">
        <v>0</v>
      </c>
      <c r="X14" s="22">
        <v>0</v>
      </c>
      <c r="Y14">
        <v>3.32</v>
      </c>
      <c r="Z14" s="22">
        <v>20</v>
      </c>
      <c r="AB14">
        <v>3.1</v>
      </c>
      <c r="AD14" s="26">
        <f t="shared" si="0"/>
        <v>0.27523148148611654</v>
      </c>
      <c r="AF14" t="s">
        <v>27</v>
      </c>
    </row>
    <row r="15" spans="7:32" x14ac:dyDescent="0.35">
      <c r="R15" s="13">
        <v>42789.450543981482</v>
      </c>
      <c r="S15" s="13"/>
      <c r="T15" s="13"/>
      <c r="U15" s="21">
        <v>-5.36441834242396E-6</v>
      </c>
      <c r="V15" s="21">
        <v>-1.07288366848479E-5</v>
      </c>
      <c r="W15" s="22">
        <v>0</v>
      </c>
      <c r="X15" s="22">
        <v>0</v>
      </c>
      <c r="Y15">
        <v>4.0999999999999996</v>
      </c>
      <c r="Z15" s="22">
        <v>19</v>
      </c>
      <c r="AB15">
        <v>4.0999999999999996</v>
      </c>
      <c r="AD15" s="26" t="str">
        <f t="shared" si="0"/>
        <v/>
      </c>
      <c r="AE15" t="s">
        <v>28</v>
      </c>
      <c r="AF15" t="s">
        <v>27</v>
      </c>
    </row>
    <row r="16" spans="7:32" x14ac:dyDescent="0.35">
      <c r="R16" s="13">
        <v>42789.670636574076</v>
      </c>
      <c r="S16" s="13"/>
      <c r="T16" s="13"/>
      <c r="U16" s="21">
        <v>-5.36441834242396E-6</v>
      </c>
      <c r="V16" s="21">
        <v>-1.07288366848479E-5</v>
      </c>
      <c r="W16" s="22">
        <v>0</v>
      </c>
      <c r="X16" s="22">
        <v>0</v>
      </c>
      <c r="Y16">
        <v>3.62</v>
      </c>
      <c r="Z16" s="22">
        <v>20</v>
      </c>
      <c r="AB16">
        <v>3.1</v>
      </c>
      <c r="AD16" s="26">
        <f t="shared" si="0"/>
        <v>0.2200925925935735</v>
      </c>
      <c r="AF16" t="s">
        <v>27</v>
      </c>
    </row>
    <row r="17" spans="7:51" x14ac:dyDescent="0.35">
      <c r="R17" s="13">
        <v>42789.915462962963</v>
      </c>
      <c r="S17" s="13"/>
      <c r="T17" s="13"/>
      <c r="U17" s="21">
        <v>-5.36441834242396E-6</v>
      </c>
      <c r="V17" s="21">
        <v>-1.07288366848479E-5</v>
      </c>
      <c r="W17" s="22">
        <v>0</v>
      </c>
      <c r="X17" s="22">
        <v>0</v>
      </c>
      <c r="Y17">
        <v>4.08</v>
      </c>
      <c r="Z17" s="22">
        <v>20</v>
      </c>
      <c r="AB17">
        <v>4.0999999999999996</v>
      </c>
      <c r="AD17" s="26" t="str">
        <f t="shared" si="0"/>
        <v/>
      </c>
      <c r="AE17" t="s">
        <v>33</v>
      </c>
      <c r="AF17" t="s">
        <v>27</v>
      </c>
    </row>
    <row r="18" spans="7:51" x14ac:dyDescent="0.35">
      <c r="R18" s="13">
        <v>42790.192615740743</v>
      </c>
      <c r="S18" s="13"/>
      <c r="T18" s="13"/>
      <c r="U18" s="21">
        <v>-5.36441834242396E-6</v>
      </c>
      <c r="V18" s="21">
        <v>-1.07288366848479E-5</v>
      </c>
      <c r="W18" s="22">
        <v>0</v>
      </c>
      <c r="X18" s="22">
        <v>0</v>
      </c>
      <c r="Y18">
        <v>3.12</v>
      </c>
      <c r="Z18" s="22">
        <v>18</v>
      </c>
      <c r="AB18">
        <v>3.1</v>
      </c>
      <c r="AD18" s="26">
        <f t="shared" si="0"/>
        <v>0.27715277778042946</v>
      </c>
      <c r="AF18" t="s">
        <v>27</v>
      </c>
    </row>
    <row r="19" spans="7:51" x14ac:dyDescent="0.35">
      <c r="R19" s="13">
        <v>42790.358657407407</v>
      </c>
      <c r="S19" s="13"/>
      <c r="T19" s="13"/>
      <c r="U19" s="21">
        <v>-5.36441834242396E-6</v>
      </c>
      <c r="V19" s="21">
        <v>-1.07288366848479E-5</v>
      </c>
      <c r="W19" s="22">
        <v>0</v>
      </c>
      <c r="X19" s="22">
        <v>0</v>
      </c>
      <c r="Y19">
        <v>4.08</v>
      </c>
      <c r="Z19" s="22">
        <v>22</v>
      </c>
      <c r="AB19">
        <v>4.0999999999999996</v>
      </c>
      <c r="AD19" s="26" t="str">
        <f t="shared" si="0"/>
        <v/>
      </c>
      <c r="AE19" t="s">
        <v>34</v>
      </c>
      <c r="AF19" t="s">
        <v>27</v>
      </c>
    </row>
    <row r="20" spans="7:51" x14ac:dyDescent="0.35">
      <c r="R20" s="13">
        <v>42790.593715277777</v>
      </c>
      <c r="S20" s="13"/>
      <c r="T20" s="13"/>
      <c r="U20" s="21">
        <v>-5.36441834242396E-6</v>
      </c>
      <c r="V20" s="21">
        <v>-1.07288366848479E-5</v>
      </c>
      <c r="W20" s="22">
        <v>0</v>
      </c>
      <c r="X20" s="22">
        <v>0</v>
      </c>
      <c r="Y20">
        <v>3.34</v>
      </c>
      <c r="Z20" s="22">
        <v>21</v>
      </c>
      <c r="AB20">
        <v>3.1</v>
      </c>
      <c r="AD20" s="26">
        <f t="shared" si="0"/>
        <v>0.23505787036992842</v>
      </c>
      <c r="AF20" t="s">
        <v>27</v>
      </c>
    </row>
    <row r="21" spans="7:51" x14ac:dyDescent="0.35">
      <c r="R21" s="13">
        <v>42792.507245370369</v>
      </c>
      <c r="S21" s="13"/>
      <c r="T21" s="13"/>
      <c r="U21" s="21">
        <v>-5.36441834242396E-6</v>
      </c>
      <c r="V21" s="21">
        <v>-1.07288366848479E-5</v>
      </c>
      <c r="W21" s="22">
        <v>0</v>
      </c>
      <c r="X21" s="22">
        <v>0</v>
      </c>
      <c r="Y21">
        <v>4.08</v>
      </c>
      <c r="Z21" s="22">
        <v>24</v>
      </c>
      <c r="AB21">
        <v>4.0999999999999996</v>
      </c>
      <c r="AD21" s="26" t="str">
        <f t="shared" si="0"/>
        <v/>
      </c>
      <c r="AE21" t="s">
        <v>29</v>
      </c>
      <c r="AF21" t="s">
        <v>37</v>
      </c>
    </row>
    <row r="22" spans="7:51" x14ac:dyDescent="0.35">
      <c r="R22" s="13">
        <v>42792.720416666663</v>
      </c>
      <c r="S22" s="13"/>
      <c r="T22" s="13"/>
      <c r="U22" s="21">
        <v>-5.36441834242396E-6</v>
      </c>
      <c r="V22" s="21">
        <v>-1.07288366848479E-5</v>
      </c>
      <c r="W22" s="22">
        <v>0</v>
      </c>
      <c r="X22" s="22">
        <v>0</v>
      </c>
      <c r="Y22">
        <v>3.18</v>
      </c>
      <c r="Z22" s="22">
        <v>20</v>
      </c>
      <c r="AB22">
        <v>3.1</v>
      </c>
      <c r="AD22" s="26">
        <f t="shared" si="0"/>
        <v>0.21317129629460396</v>
      </c>
      <c r="AE22" t="s">
        <v>29</v>
      </c>
      <c r="AF22" t="s">
        <v>37</v>
      </c>
    </row>
    <row r="23" spans="7:51" x14ac:dyDescent="0.35">
      <c r="R23" s="13">
        <v>42793.65697916667</v>
      </c>
      <c r="S23" s="13"/>
      <c r="T23" s="13"/>
      <c r="U23" s="22">
        <v>52.637673773626901</v>
      </c>
      <c r="V23" s="22">
        <v>4.7498383968971796</v>
      </c>
      <c r="W23" s="22">
        <v>5</v>
      </c>
      <c r="X23" s="22">
        <v>1.6</v>
      </c>
      <c r="Y23">
        <v>4.08</v>
      </c>
      <c r="Z23" s="22">
        <v>20</v>
      </c>
      <c r="AB23">
        <v>4.0999999999999996</v>
      </c>
      <c r="AD23" s="26" t="str">
        <f t="shared" si="0"/>
        <v/>
      </c>
      <c r="AE23" t="s">
        <v>42</v>
      </c>
      <c r="AF23" t="s">
        <v>38</v>
      </c>
    </row>
    <row r="24" spans="7:51" x14ac:dyDescent="0.35">
      <c r="R24" s="13">
        <v>42794.135347222225</v>
      </c>
      <c r="S24" s="13"/>
      <c r="T24" s="13"/>
      <c r="U24" s="22">
        <v>52.632663406888398</v>
      </c>
      <c r="V24" s="22">
        <v>4.7384443723228102</v>
      </c>
      <c r="W24" s="22">
        <v>0</v>
      </c>
      <c r="X24" s="22">
        <v>1.6</v>
      </c>
      <c r="Y24">
        <v>3.06</v>
      </c>
      <c r="Z24" s="22">
        <v>16</v>
      </c>
      <c r="AB24">
        <v>3.1</v>
      </c>
      <c r="AD24" s="27">
        <f t="shared" si="0"/>
        <v>0.47836805555562023</v>
      </c>
      <c r="AE24" t="s">
        <v>42</v>
      </c>
      <c r="AF24" t="s">
        <v>38</v>
      </c>
    </row>
    <row r="25" spans="7:51" x14ac:dyDescent="0.35">
      <c r="G25" t="s">
        <v>21</v>
      </c>
      <c r="R25" s="13">
        <v>42794.509027777778</v>
      </c>
      <c r="S25" s="13"/>
      <c r="T25" s="13"/>
      <c r="U25" s="22">
        <v>52.632599033868203</v>
      </c>
      <c r="V25" s="22">
        <v>4.7383156262824198</v>
      </c>
      <c r="W25" s="22">
        <v>38</v>
      </c>
      <c r="X25" s="22">
        <v>1.4</v>
      </c>
      <c r="Y25">
        <v>4.08</v>
      </c>
      <c r="Z25" s="22">
        <v>23</v>
      </c>
      <c r="AB25">
        <v>4.0999999999999996</v>
      </c>
      <c r="AD25" s="26" t="str">
        <f t="shared" si="0"/>
        <v/>
      </c>
      <c r="AE25" t="s">
        <v>30</v>
      </c>
      <c r="AF25" t="s">
        <v>39</v>
      </c>
    </row>
    <row r="26" spans="7:51" x14ac:dyDescent="0.35">
      <c r="R26" s="13">
        <v>42794.837962962964</v>
      </c>
      <c r="S26" s="13"/>
      <c r="T26" s="13"/>
      <c r="U26" s="22">
        <v>52.6325561185214</v>
      </c>
      <c r="V26" s="22">
        <v>4.7382727109356297</v>
      </c>
      <c r="W26" s="22">
        <v>31</v>
      </c>
      <c r="X26" s="22">
        <v>1</v>
      </c>
      <c r="Y26">
        <v>2.98</v>
      </c>
      <c r="Z26" s="22">
        <v>19</v>
      </c>
      <c r="AB26">
        <v>3.1</v>
      </c>
      <c r="AD26" s="26">
        <f t="shared" si="0"/>
        <v>0.32893518518540077</v>
      </c>
      <c r="AE26" t="s">
        <v>30</v>
      </c>
      <c r="AF26" t="s">
        <v>39</v>
      </c>
    </row>
    <row r="27" spans="7:51" x14ac:dyDescent="0.35">
      <c r="R27" s="13">
        <v>42795.284907407404</v>
      </c>
      <c r="S27" s="13"/>
      <c r="T27" s="13"/>
      <c r="U27" s="22">
        <v>52.632491745501198</v>
      </c>
      <c r="V27" s="22">
        <v>4.7384443723228102</v>
      </c>
      <c r="W27" s="22">
        <v>0</v>
      </c>
      <c r="X27" s="22">
        <v>2.2999999999999998</v>
      </c>
      <c r="Y27">
        <v>4.0999999999999996</v>
      </c>
      <c r="Z27" s="22">
        <v>20</v>
      </c>
      <c r="AB27">
        <v>4.0999999999999996</v>
      </c>
      <c r="AD27" s="26" t="str">
        <f t="shared" si="0"/>
        <v/>
      </c>
      <c r="AE27" t="s">
        <v>66</v>
      </c>
      <c r="AF27" t="s">
        <v>49</v>
      </c>
    </row>
    <row r="28" spans="7:51" x14ac:dyDescent="0.35">
      <c r="P28" s="12"/>
      <c r="R28" s="13">
        <v>42795.662430555552</v>
      </c>
      <c r="S28" s="13"/>
      <c r="T28" s="13"/>
      <c r="U28" s="22">
        <v>52.632523932011303</v>
      </c>
      <c r="V28" s="22">
        <v>4.7382083379154096</v>
      </c>
      <c r="W28" s="22">
        <v>10</v>
      </c>
      <c r="X28" s="22">
        <v>1</v>
      </c>
      <c r="Y28">
        <v>2.88</v>
      </c>
      <c r="Z28" s="22">
        <v>20</v>
      </c>
      <c r="AB28">
        <v>3.1</v>
      </c>
      <c r="AD28" s="26">
        <f t="shared" si="0"/>
        <v>0.37752314814861165</v>
      </c>
      <c r="AE28" t="s">
        <v>65</v>
      </c>
      <c r="AF28" t="s">
        <v>49</v>
      </c>
    </row>
    <row r="29" spans="7:51" x14ac:dyDescent="0.35">
      <c r="R29" s="13">
        <v>42795.903101851851</v>
      </c>
      <c r="S29" s="13"/>
      <c r="T29" s="13"/>
      <c r="U29" s="22">
        <v>52.632652678051699</v>
      </c>
      <c r="V29" s="22">
        <v>4.7384229146493899</v>
      </c>
      <c r="W29" s="22">
        <v>7</v>
      </c>
      <c r="X29" s="22">
        <v>1.4</v>
      </c>
      <c r="Y29">
        <v>4.0599999999999996</v>
      </c>
      <c r="Z29" s="22">
        <v>19</v>
      </c>
      <c r="AB29">
        <v>4.0999999999999996</v>
      </c>
      <c r="AD29" s="26" t="str">
        <f t="shared" si="0"/>
        <v/>
      </c>
      <c r="AE29" t="s">
        <v>59</v>
      </c>
      <c r="AF29" t="s">
        <v>48</v>
      </c>
      <c r="AY29" t="s">
        <v>40</v>
      </c>
    </row>
    <row r="30" spans="7:51" x14ac:dyDescent="0.35">
      <c r="R30" s="13">
        <v>42796.544652777775</v>
      </c>
      <c r="S30" s="13"/>
      <c r="T30" s="13"/>
      <c r="U30" s="22">
        <v>52.6325561185214</v>
      </c>
      <c r="V30" s="22">
        <v>4.7383799993025901</v>
      </c>
      <c r="W30" s="22">
        <v>5</v>
      </c>
      <c r="X30" s="22">
        <v>1.1000000000000001</v>
      </c>
      <c r="Y30">
        <v>3.14</v>
      </c>
      <c r="Z30" s="22">
        <v>25</v>
      </c>
      <c r="AB30">
        <v>3.1</v>
      </c>
      <c r="AD30" s="26">
        <f t="shared" si="0"/>
        <v>0.64155092592409346</v>
      </c>
      <c r="AE30" t="s">
        <v>64</v>
      </c>
      <c r="AF30" t="s">
        <v>48</v>
      </c>
    </row>
    <row r="31" spans="7:51" x14ac:dyDescent="0.35">
      <c r="R31" s="13">
        <v>42796.903645833336</v>
      </c>
      <c r="S31" s="13"/>
      <c r="T31" s="13"/>
      <c r="U31">
        <v>52.632599033868203</v>
      </c>
      <c r="V31">
        <v>4.73848728766961</v>
      </c>
      <c r="W31">
        <v>5</v>
      </c>
      <c r="X31">
        <v>1.5</v>
      </c>
      <c r="Y31">
        <v>4.0999999999999996</v>
      </c>
      <c r="Z31">
        <v>18</v>
      </c>
      <c r="AA31">
        <v>15</v>
      </c>
      <c r="AB31" t="s">
        <v>43</v>
      </c>
      <c r="AD31" s="26" t="str">
        <f t="shared" si="0"/>
        <v/>
      </c>
      <c r="AE31" t="s">
        <v>60</v>
      </c>
      <c r="AF31" t="s">
        <v>50</v>
      </c>
    </row>
    <row r="32" spans="7:51" x14ac:dyDescent="0.35">
      <c r="R32" s="13">
        <v>42797.529224537036</v>
      </c>
      <c r="S32" s="13"/>
      <c r="T32" s="13"/>
      <c r="U32">
        <v>52.632588305031497</v>
      </c>
      <c r="V32">
        <v>4.7385302030164098</v>
      </c>
      <c r="W32">
        <v>5</v>
      </c>
      <c r="X32">
        <v>2.1</v>
      </c>
      <c r="Y32">
        <v>3.1</v>
      </c>
      <c r="Z32">
        <v>18</v>
      </c>
      <c r="AA32">
        <v>15</v>
      </c>
      <c r="AB32" t="s">
        <v>44</v>
      </c>
      <c r="AD32" s="26">
        <f t="shared" si="0"/>
        <v>0.62557870370073942</v>
      </c>
      <c r="AE32" t="s">
        <v>57</v>
      </c>
      <c r="AF32" t="s">
        <v>50</v>
      </c>
    </row>
    <row r="33" spans="18:32" x14ac:dyDescent="0.35">
      <c r="R33" s="13">
        <v>42798.441076388888</v>
      </c>
      <c r="S33" s="13"/>
      <c r="T33" s="13"/>
      <c r="U33">
        <v>52.6326312203783</v>
      </c>
      <c r="V33">
        <v>4.73848728766961</v>
      </c>
      <c r="W33">
        <v>30</v>
      </c>
      <c r="X33">
        <v>1.5</v>
      </c>
      <c r="Y33">
        <v>4.0999999999999996</v>
      </c>
      <c r="Z33">
        <v>21</v>
      </c>
      <c r="AA33">
        <v>15</v>
      </c>
      <c r="AB33" t="s">
        <v>43</v>
      </c>
      <c r="AD33" s="26" t="str">
        <f t="shared" si="0"/>
        <v/>
      </c>
      <c r="AE33" t="s">
        <v>59</v>
      </c>
      <c r="AF33" t="s">
        <v>50</v>
      </c>
    </row>
    <row r="34" spans="18:32" x14ac:dyDescent="0.35">
      <c r="R34" s="13">
        <v>42799.11377314815</v>
      </c>
      <c r="S34" t="s">
        <v>8</v>
      </c>
      <c r="T34" t="s">
        <v>45</v>
      </c>
      <c r="U34">
        <v>52.6325561185214</v>
      </c>
      <c r="V34">
        <v>4.7382512532621996</v>
      </c>
      <c r="W34">
        <v>3</v>
      </c>
      <c r="X34">
        <v>1.4</v>
      </c>
      <c r="Y34">
        <v>3.08</v>
      </c>
      <c r="Z34">
        <v>17</v>
      </c>
      <c r="AA34">
        <v>15</v>
      </c>
      <c r="AB34" t="s">
        <v>44</v>
      </c>
      <c r="AD34" s="26">
        <f t="shared" si="0"/>
        <v>0.67269675926218042</v>
      </c>
      <c r="AE34" t="s">
        <v>58</v>
      </c>
      <c r="AF34" t="s">
        <v>50</v>
      </c>
    </row>
    <row r="35" spans="18:32" x14ac:dyDescent="0.35">
      <c r="R35" s="13">
        <v>42799.443969907406</v>
      </c>
      <c r="S35" t="s">
        <v>8</v>
      </c>
      <c r="T35" t="s">
        <v>46</v>
      </c>
      <c r="U35">
        <v>52.632405914807599</v>
      </c>
      <c r="V35">
        <v>4.7384014569760202</v>
      </c>
      <c r="W35">
        <v>5</v>
      </c>
      <c r="X35">
        <v>3.3</v>
      </c>
      <c r="Y35">
        <v>4.08</v>
      </c>
      <c r="Z35">
        <v>27</v>
      </c>
      <c r="AA35">
        <v>15</v>
      </c>
      <c r="AB35" t="s">
        <v>43</v>
      </c>
      <c r="AD35" s="26" t="str">
        <f t="shared" si="0"/>
        <v/>
      </c>
      <c r="AE35" t="s">
        <v>61</v>
      </c>
      <c r="AF35" t="s">
        <v>50</v>
      </c>
    </row>
    <row r="36" spans="18:32" x14ac:dyDescent="0.35">
      <c r="R36" s="13">
        <v>42799.908009259256</v>
      </c>
      <c r="S36" t="s">
        <v>8</v>
      </c>
      <c r="T36" t="s">
        <v>47</v>
      </c>
      <c r="U36">
        <v>52.632588305031497</v>
      </c>
      <c r="V36">
        <v>4.7382941686090003</v>
      </c>
      <c r="W36">
        <v>44</v>
      </c>
      <c r="X36">
        <v>1.4</v>
      </c>
      <c r="Y36">
        <v>3.08</v>
      </c>
      <c r="Z36">
        <v>17</v>
      </c>
      <c r="AA36">
        <v>25</v>
      </c>
      <c r="AB36" t="s">
        <v>44</v>
      </c>
      <c r="AD36" s="26">
        <f t="shared" si="0"/>
        <v>0.46403935184935108</v>
      </c>
      <c r="AE36" t="s">
        <v>57</v>
      </c>
      <c r="AF36" t="s">
        <v>50</v>
      </c>
    </row>
    <row r="37" spans="18:32" x14ac:dyDescent="0.35">
      <c r="R37" s="13">
        <v>42800.403368055559</v>
      </c>
      <c r="S37" t="s">
        <v>8</v>
      </c>
      <c r="T37" t="s">
        <v>51</v>
      </c>
      <c r="U37">
        <v>52.632620491541601</v>
      </c>
      <c r="V37">
        <v>4.7384014569760202</v>
      </c>
      <c r="W37">
        <v>1</v>
      </c>
      <c r="X37">
        <v>1.7</v>
      </c>
      <c r="Y37">
        <v>4.08</v>
      </c>
      <c r="Z37">
        <v>20</v>
      </c>
      <c r="AA37">
        <v>10</v>
      </c>
      <c r="AB37" t="s">
        <v>43</v>
      </c>
      <c r="AD37" s="26" t="str">
        <f t="shared" si="0"/>
        <v/>
      </c>
      <c r="AE37" t="s">
        <v>62</v>
      </c>
    </row>
    <row r="38" spans="18:32" x14ac:dyDescent="0.35">
      <c r="R38" s="13">
        <v>42801.002650462964</v>
      </c>
      <c r="S38" t="s">
        <v>8</v>
      </c>
      <c r="T38" t="s">
        <v>52</v>
      </c>
      <c r="U38">
        <v>52.6324702878278</v>
      </c>
      <c r="V38">
        <v>4.7384014569760202</v>
      </c>
      <c r="W38">
        <v>0</v>
      </c>
      <c r="X38">
        <v>2.5</v>
      </c>
      <c r="Y38">
        <v>3.1</v>
      </c>
      <c r="Z38">
        <v>17</v>
      </c>
      <c r="AA38">
        <v>35</v>
      </c>
      <c r="AB38" t="s">
        <v>44</v>
      </c>
      <c r="AD38" s="26">
        <f t="shared" si="0"/>
        <v>0.59928240740555339</v>
      </c>
      <c r="AE38" t="s">
        <v>56</v>
      </c>
    </row>
    <row r="39" spans="18:32" x14ac:dyDescent="0.35">
      <c r="R39" s="13">
        <v>42802.422662037039</v>
      </c>
      <c r="S39" t="s">
        <v>8</v>
      </c>
      <c r="T39" t="s">
        <v>53</v>
      </c>
      <c r="U39">
        <v>52.632652678051699</v>
      </c>
      <c r="V39">
        <v>4.7384658299961799</v>
      </c>
      <c r="W39">
        <v>8</v>
      </c>
      <c r="X39">
        <v>1.7</v>
      </c>
      <c r="Y39">
        <v>4.0999999999999996</v>
      </c>
      <c r="Z39">
        <v>-6</v>
      </c>
      <c r="AA39">
        <v>10</v>
      </c>
      <c r="AB39" t="s">
        <v>43</v>
      </c>
      <c r="AD39" s="26" t="str">
        <f t="shared" si="0"/>
        <v/>
      </c>
      <c r="AE39" t="s">
        <v>63</v>
      </c>
    </row>
    <row r="40" spans="18:32" x14ac:dyDescent="0.35">
      <c r="R40" s="13">
        <v>42803.075104166666</v>
      </c>
      <c r="S40" t="s">
        <v>8</v>
      </c>
      <c r="T40" t="s">
        <v>54</v>
      </c>
      <c r="U40">
        <v>52.6326312203783</v>
      </c>
      <c r="V40">
        <v>4.7384658299961799</v>
      </c>
      <c r="W40">
        <v>7</v>
      </c>
      <c r="X40">
        <v>1.9</v>
      </c>
      <c r="Y40">
        <v>3.06</v>
      </c>
      <c r="Z40">
        <v>-1</v>
      </c>
      <c r="AA40">
        <v>10</v>
      </c>
      <c r="AB40" t="s">
        <v>44</v>
      </c>
      <c r="AD40" s="26">
        <f t="shared" si="0"/>
        <v>0.65244212962716119</v>
      </c>
      <c r="AE40" t="s">
        <v>55</v>
      </c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HowTo</vt:lpstr>
      <vt:lpstr>data</vt:lpstr>
      <vt:lpstr>grafieken</vt:lpstr>
      <vt:lpstr>accesskey</vt:lpstr>
      <vt:lpstr>latestdata</vt:lpstr>
      <vt:lpstr>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Marco van Schagen</cp:lastModifiedBy>
  <cp:lastPrinted>2017-02-19T11:33:25Z</cp:lastPrinted>
  <dcterms:created xsi:type="dcterms:W3CDTF">2006-09-16T00:00:00Z</dcterms:created>
  <dcterms:modified xsi:type="dcterms:W3CDTF">2018-09-07T10:56:33Z</dcterms:modified>
</cp:coreProperties>
</file>